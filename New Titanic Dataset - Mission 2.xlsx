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shboard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<sst xmlns="http://schemas.openxmlformats.org/spreadsheetml/2006/main" count="69" uniqueCount="43">
  <si>
    <t>Total Passengers</t>
  </si>
  <si>
    <t>PassengerId</t>
  </si>
  <si>
    <t>Survived</t>
  </si>
  <si>
    <t>Pclass</t>
  </si>
  <si>
    <t>Name</t>
  </si>
  <si>
    <t>Title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</si>
  <si>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</si>
  <si>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</si>
  <si>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</si>
  <si>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</si>
  <si>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</si>
  <si>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</si>
  <si>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</si>
  <si>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</si>
  <si>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</si>
  <si>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Mr</t>
  </si>
  <si>
    <t>male</t>
  </si>
  <si>
    <t>A/5 21171</t>
  </si>
  <si>
    <t>S</t>
  </si>
  <si>
    <t>Cumings, Mrs. John Bradley (Florence Briggs Thayer)</t>
  </si>
  <si>
    <t>Mrs</t>
  </si>
  <si>
    <t>female</t>
  </si>
  <si>
    <t>PC 17599</t>
  </si>
  <si>
    <t>C85</t>
  </si>
  <si>
    <t>C</t>
  </si>
  <si>
    <t>Heikkinen, Miss. Laina</t>
  </si>
  <si>
    <t>Miss</t>
  </si>
  <si>
    <t>STON/O2. 3101282</t>
  </si>
  <si>
    <t>Futrelle, Mrs. Jacques Heath (Lily May Peel)</t>
  </si>
  <si>
    <t>Average Age</t>
  </si>
  <si>
    <t>C123</t>
  </si>
  <si>
    <t>Allen, Mr. William Henry</t>
  </si>
  <si>
    <t>Moran, Mr. James</t>
  </si>
  <si>
    <t>Q</t>
  </si>
  <si>
    <t>McCarthy, Mr. Timothy J</t>
  </si>
  <si>
    <t>Median Age</t>
  </si>
  <si>
    <t>E46</t>
  </si>
  <si>
    <t>Palsson, Master. Gosta Leonard</t>
  </si>
  <si>
    <t>Master</t>
  </si>
  <si>
    <t>Johnson, Mrs. Oscar W (Elisabeth Vilhelmina Berg)</t>
  </si>
  <si>
    <t>Nasser, Mrs. Nicholas (Adele Achem)</t>
  </si>
  <si>
    <t>Total Survived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</si>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</sst>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C1F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B5F90"/>
        <bgColor rgb="FF3B5F90"/>
      </patternFill>
    </fill>
    <fill>
      <patternFill patternType="solid">
        <fgColor rgb="FFF8F8FF"/>
        <bgColor rgb="FFF8F8FF"/>
      </patternFill>
    </fill>
  </fills>
  <borders count="2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3" fontId="2" numFmtId="0" xfId="0" applyBorder="1" applyFill="1" applyFont="1"/>
    <xf borderId="0" fillId="2" fontId="1" numFmtId="0" xfId="0" applyFill="1" applyFont="1"/>
    <xf borderId="0" fillId="0" fontId="3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3">
    <tableStyle count="2" pivot="0" name="Dashboard-style">
      <tableStyleElement dxfId="1" type="firstRowStripe"/>
      <tableStyleElement dxfId="2" type="secondRowStripe"/>
    </tableStyle>
    <tableStyle count="2" pivot="0" name="Raw Data-style">
      <tableStyleElement dxfId="1" type="firstRowStripe"/>
      <tableStyleElement dxfId="2" type="secondRowStripe"/>
    </tableStyle>
    <tableStyle count="12" table="0" name="Google Sheets Pivot Table Style">
      <tableStyleElement dxfId="4" type="wholeTable"/>
      <tableStyleElement dxfId="5" type="firstRowSubheading"/>
      <tableStyleElement dxfId="5" type="secondRowSubheading"/>
      <tableStyleElement dxfId="5" type="thirdRowSubheading"/>
      <tableStyleElement dxfId="6" type="firstColumnSubheading"/>
      <tableStyleElement dxfId="6" type="secondColumnSubheading"/>
      <tableStyleElement dxfId="6" type="thirdColumnSubheading"/>
      <tableStyleElement dxfId="6" type="headerRow"/>
      <tableStyleElement dxfId="7" type="firstSubtotalRow"/>
      <tableStyleElement dxfId="7" type="secondSubtotalRow"/>
      <tableStyleElement dxfId="7" type="thirdSubtotalRow"/>
      <tableStyleElement dxfId="8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1" sheet="Raw Data"/>
  </cacheSource>
  <cacheFields>
    <cacheField name="Passenger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Survived" numFmtId="0">
      <sharedItems containsSemiMixedTypes="0" containsString="0" containsNumber="1" containsInteger="1">
        <n v="0.0"/>
        <n v="1.0"/>
      </sharedItems>
    </cacheField>
    <cacheField name="Pclass" numFmtId="0">
      <sharedItems containsSemiMixedTypes="0" containsString="0" containsNumber="1" containsInteger="1">
        <n v="3.0"/>
        <n v="1.0"/>
        <n v="2.0"/>
      </sharedItems>
    </cacheField>
    <cacheField name="Name" numFmtId="0">
      <sharedItems>
        <s v="Braund, Mr. Owen Harris"/>
        <s v="Cumings, Mrs. John Bradley (Florence Briggs Thayer)"/>
        <s v="Heikkinen, Miss. Laina"/>
        <s v="Futrelle, Mrs. Jacques Heath (Lily May Peel)"/>
        <s v="Allen, Mr. William Henry"/>
        <s v="Moran, Mr. James"/>
        <s v="McCarthy, Mr. Timothy J"/>
        <s v="Palsson, Master. Gosta Leonard"/>
        <s v="Johnson, Mrs. Oscar W (Elisabeth Vilhelmina Berg)"/>
        <s v="Nasser, Mrs. Nicholas (Adele Achem)"/>
      </sharedItems>
    </cacheField>
    <cacheField name="Title" numFmtId="0">
      <sharedItems>
        <s v="Mr"/>
        <s v="Mrs"/>
        <s v="Miss"/>
        <s v="Master"/>
      </sharedItems>
    </cacheField>
    <cacheField name="Sex" numFmtId="0">
      <sharedItems>
        <s v="male"/>
        <s v="female"/>
      </sharedItems>
    </cacheField>
    <cacheField name="Age" numFmtId="0">
      <sharedItems containsString="0" containsBlank="1" containsNumber="1" containsInteger="1">
        <n v="22.0"/>
        <n v="38.0"/>
        <n v="26.0"/>
        <n v="35.0"/>
        <m/>
        <n v="54.0"/>
        <n v="2.0"/>
        <n v="27.0"/>
        <n v="14.0"/>
      </sharedItems>
    </cacheField>
    <cacheField name="SibSp" numFmtId="0">
      <sharedItems containsSemiMixedTypes="0" containsString="0" containsNumber="1" containsInteger="1">
        <n v="1.0"/>
        <n v="0.0"/>
        <n v="3.0"/>
      </sharedItems>
    </cacheField>
    <cacheField name="Parch" numFmtId="0">
      <sharedItems containsSemiMixedTypes="0" containsString="0" containsNumber="1" containsInteger="1">
        <n v="0.0"/>
        <n v="1.0"/>
        <n v="2.0"/>
      </sharedItems>
    </cacheField>
    <cacheField name="Ticket">
      <sharedItems containsMixedTypes="1" containsNumber="1" containsInteger="1">
        <s v="A/5 21171"/>
        <s v="PC 17599"/>
        <s v="STON/O2. 3101282"/>
        <n v="113803.0"/>
        <n v="373450.0"/>
        <n v="330877.0"/>
        <n v="17463.0"/>
        <n v="349909.0"/>
        <n v="347742.0"/>
        <n v="237736.0"/>
      </sharedItems>
    </cacheField>
    <cacheField name="Fare" numFmtId="0">
      <sharedItems containsSemiMixedTypes="0" containsString="0" containsNumber="1">
        <n v="7.25"/>
        <n v="71.2833"/>
        <n v="7.925"/>
        <n v="53.1"/>
        <n v="8.05"/>
        <n v="8.4583"/>
        <n v="51.8625"/>
        <n v="21.075"/>
        <n v="11.1333"/>
        <n v="30.0708"/>
      </sharedItems>
    </cacheField>
    <cacheField name="Cabin" numFmtId="0">
      <sharedItems containsBlank="1">
        <m/>
        <s v="C85"/>
        <s v="C123"/>
        <s v="E46"/>
      </sharedItems>
    </cacheField>
    <cacheField name="Embarked" numFmtId="0">
      <sharedItems>
        <s v="S"/>
        <s v="C"/>
        <s v="Q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B7:F11" firstHeaderRow="0" firstDataRow="1" firstDataCol="1"/>
  <pivotFields>
    <pivotField name="Passen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urvived" dataField="1" compact="0" outline="0" multipleItemSelectionAllowed="1" showAll="0">
      <items>
        <item x="0"/>
        <item x="1"/>
        <item t="default"/>
      </items>
    </pivotField>
    <pivotField name="Pclass" axis="axisCol" compact="0" outline="0" multipleItemSelectionAllowed="1" showAll="0" sortType="ascending">
      <items>
        <item x="1"/>
        <item x="2"/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t="default"/>
      </items>
    </pivotField>
    <pivotField name="Sex" axis="axisRow" compact="0" outline="0" multipleItemSelectionAllowed="1" showAll="0" sortType="ascending">
      <items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ibSp" compact="0" outline="0" multipleItemSelectionAllowed="1" showAll="0">
      <items>
        <item x="0"/>
        <item x="1"/>
        <item x="2"/>
        <item t="default"/>
      </items>
    </pivotField>
    <pivotField name="Parch" compact="0" outline="0" multipleItemSelectionAllowed="1" showAll="0">
      <items>
        <item x="0"/>
        <item x="1"/>
        <item x="2"/>
        <item t="default"/>
      </items>
    </pivotField>
    <pivotField name="Tic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bin" compact="0" outline="0" multipleItemSelectionAllowed="1" showAll="0">
      <items>
        <item x="0"/>
        <item x="1"/>
        <item x="2"/>
        <item x="3"/>
        <item t="default"/>
      </items>
    </pivotField>
    <pivotField name="Embarked" compact="0" outline="0" multipleItemSelectionAllowed="1" showAll="0">
      <items>
        <item x="0"/>
        <item x="1"/>
        <item x="2"/>
        <item t="default"/>
      </items>
    </pivotField>
  </pivotFields>
  <rowFields>
    <field x="5"/>
  </rowFields>
  <colFields>
    <field x="2"/>
  </colFields>
  <dataFields>
    <dataField name="Total Survived" fld="1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headerRowCount="0" ref="A2:M11" displayName="Table_2" name="Table_2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Raw 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B9:E11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8.0"/>
    <col customWidth="1" min="3" max="3" width="6.25"/>
    <col customWidth="1" min="4" max="4" width="39.13"/>
    <col customWidth="1" min="5" max="5" width="6.0"/>
    <col customWidth="1" min="6" max="6" width="5.88"/>
    <col customWidth="1" min="7" max="7" width="4.13"/>
    <col customWidth="1" min="8" max="9" width="5.63"/>
    <col customWidth="1" min="10" max="10" width="15.0"/>
    <col customWidth="1" min="11" max="11" width="6.88"/>
    <col customWidth="1" min="12" max="12" width="5.5"/>
    <col customWidth="1" min="13" max="13" width="9.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>
      <c r="A2" s="2">
        <v>1.0</v>
      </c>
      <c r="B2" s="2">
        <v>0.0</v>
      </c>
      <c r="C2" s="2">
        <v>3.0</v>
      </c>
      <c r="D2" s="2" t="s">
        <v>14</v>
      </c>
      <c r="E2" s="2" t="s">
        <v>15</v>
      </c>
      <c r="F2" s="2" t="s">
        <v>16</v>
      </c>
      <c r="G2" s="2">
        <v>22.0</v>
      </c>
      <c r="H2" s="2">
        <v>1.0</v>
      </c>
      <c r="I2" s="2">
        <v>0.0</v>
      </c>
      <c r="J2" s="2" t="s">
        <v>17</v>
      </c>
      <c r="K2" s="2">
        <v>7.25</v>
      </c>
      <c r="L2" s="3"/>
      <c r="M2" s="2" t="s">
        <v>18</v>
      </c>
    </row>
    <row r="3">
      <c r="A3" s="2">
        <v>2.0</v>
      </c>
      <c r="B3" s="2">
        <v>1.0</v>
      </c>
      <c r="C3" s="2">
        <v>1.0</v>
      </c>
      <c r="D3" s="2" t="s">
        <v>19</v>
      </c>
      <c r="E3" s="2" t="s">
        <v>20</v>
      </c>
      <c r="F3" s="2" t="s">
        <v>21</v>
      </c>
      <c r="G3" s="2">
        <v>38.0</v>
      </c>
      <c r="H3" s="2">
        <v>1.0</v>
      </c>
      <c r="I3" s="2">
        <v>0.0</v>
      </c>
      <c r="J3" s="2" t="s">
        <v>22</v>
      </c>
      <c r="K3" s="2">
        <v>71.2833</v>
      </c>
      <c r="L3" s="2" t="s">
        <v>23</v>
      </c>
      <c r="M3" s="2" t="s">
        <v>24</v>
      </c>
    </row>
    <row r="4">
      <c r="A4" s="2">
        <v>3.0</v>
      </c>
      <c r="B4" s="2">
        <v>1.0</v>
      </c>
      <c r="C4" s="2">
        <v>3.0</v>
      </c>
      <c r="D4" s="2" t="s">
        <v>25</v>
      </c>
      <c r="E4" s="2" t="s">
        <v>26</v>
      </c>
      <c r="F4" s="2" t="s">
        <v>21</v>
      </c>
      <c r="G4" s="2">
        <v>26.0</v>
      </c>
      <c r="H4" s="2">
        <v>0.0</v>
      </c>
      <c r="I4" s="2">
        <v>0.0</v>
      </c>
      <c r="J4" s="2" t="s">
        <v>27</v>
      </c>
      <c r="K4" s="2">
        <v>7.925</v>
      </c>
      <c r="L4" s="3"/>
      <c r="M4" s="2" t="s">
        <v>18</v>
      </c>
    </row>
    <row r="5">
      <c r="A5" s="2">
        <v>4.0</v>
      </c>
      <c r="B5" s="2">
        <v>1.0</v>
      </c>
      <c r="C5" s="2">
        <v>1.0</v>
      </c>
      <c r="D5" s="2" t="s">
        <v>28</v>
      </c>
      <c r="E5" s="2" t="s">
        <v>20</v>
      </c>
      <c r="F5" s="2" t="s">
        <v>21</v>
      </c>
      <c r="G5" s="2">
        <v>35.0</v>
      </c>
      <c r="H5" s="2">
        <v>1.0</v>
      </c>
      <c r="I5" s="2">
        <v>0.0</v>
      </c>
      <c r="J5" s="2">
        <v>113803.0</v>
      </c>
      <c r="K5" s="2">
        <v>53.1</v>
      </c>
      <c r="L5" s="2" t="s">
        <v>30</v>
      </c>
      <c r="M5" s="2" t="s">
        <v>18</v>
      </c>
    </row>
    <row r="6">
      <c r="A6" s="2">
        <v>5.0</v>
      </c>
      <c r="B6" s="2">
        <v>0.0</v>
      </c>
      <c r="C6" s="2">
        <v>3.0</v>
      </c>
      <c r="D6" s="2" t="s">
        <v>31</v>
      </c>
      <c r="E6" s="2" t="s">
        <v>15</v>
      </c>
      <c r="F6" s="2" t="s">
        <v>16</v>
      </c>
      <c r="G6" s="2">
        <v>35.0</v>
      </c>
      <c r="H6" s="2">
        <v>0.0</v>
      </c>
      <c r="I6" s="2">
        <v>0.0</v>
      </c>
      <c r="J6" s="2">
        <v>373450.0</v>
      </c>
      <c r="K6" s="2">
        <v>8.05</v>
      </c>
      <c r="L6" s="3"/>
      <c r="M6" s="2" t="s">
        <v>18</v>
      </c>
    </row>
    <row r="7">
      <c r="A7" s="2">
        <v>6.0</v>
      </c>
      <c r="B7" s="2">
        <v>0.0</v>
      </c>
      <c r="C7" s="2">
        <v>3.0</v>
      </c>
      <c r="D7" s="2" t="s">
        <v>32</v>
      </c>
      <c r="E7" s="2" t="s">
        <v>15</v>
      </c>
      <c r="F7" s="2" t="s">
        <v>16</v>
      </c>
      <c r="G7" s="3"/>
      <c r="H7" s="2">
        <v>0.0</v>
      </c>
      <c r="I7" s="2">
        <v>0.0</v>
      </c>
      <c r="J7" s="2">
        <v>330877.0</v>
      </c>
      <c r="K7" s="2">
        <v>8.4583</v>
      </c>
      <c r="L7" s="3"/>
      <c r="M7" s="2" t="s">
        <v>33</v>
      </c>
    </row>
    <row r="8">
      <c r="A8" s="2">
        <v>7.0</v>
      </c>
      <c r="B8" s="2">
        <v>0.0</v>
      </c>
      <c r="C8" s="2">
        <v>1.0</v>
      </c>
      <c r="D8" s="2" t="s">
        <v>34</v>
      </c>
      <c r="E8" s="2" t="s">
        <v>15</v>
      </c>
      <c r="F8" s="2" t="s">
        <v>16</v>
      </c>
      <c r="G8" s="2">
        <v>54.0</v>
      </c>
      <c r="H8" s="2">
        <v>0.0</v>
      </c>
      <c r="I8" s="2">
        <v>0.0</v>
      </c>
      <c r="J8" s="2">
        <v>17463.0</v>
      </c>
      <c r="K8" s="2">
        <v>51.8625</v>
      </c>
      <c r="L8" s="2" t="s">
        <v>36</v>
      </c>
      <c r="M8" s="2" t="s">
        <v>18</v>
      </c>
    </row>
    <row r="9">
      <c r="A9" s="2">
        <v>8.0</v>
      </c>
      <c r="B9" s="2">
        <v>0.0</v>
      </c>
      <c r="C9" s="2">
        <v>3.0</v>
      </c>
      <c r="D9" s="2" t="s">
        <v>37</v>
      </c>
      <c r="E9" s="2" t="s">
        <v>38</v>
      </c>
      <c r="F9" s="2" t="s">
        <v>16</v>
      </c>
      <c r="G9" s="2">
        <v>2.0</v>
      </c>
      <c r="H9" s="2">
        <v>3.0</v>
      </c>
      <c r="I9" s="2">
        <v>1.0</v>
      </c>
      <c r="J9" s="2">
        <v>349909.0</v>
      </c>
      <c r="K9" s="2">
        <v>21.075</v>
      </c>
      <c r="L9" s="3"/>
      <c r="M9" s="2" t="s">
        <v>18</v>
      </c>
    </row>
    <row r="10">
      <c r="A10" s="2">
        <v>9.0</v>
      </c>
      <c r="B10" s="2">
        <v>1.0</v>
      </c>
      <c r="C10" s="2">
        <v>3.0</v>
      </c>
      <c r="D10" s="2" t="s">
        <v>39</v>
      </c>
      <c r="E10" s="2" t="s">
        <v>20</v>
      </c>
      <c r="F10" s="2" t="s">
        <v>21</v>
      </c>
      <c r="G10" s="2">
        <v>27.0</v>
      </c>
      <c r="H10" s="2">
        <v>0.0</v>
      </c>
      <c r="I10" s="2">
        <v>2.0</v>
      </c>
      <c r="J10" s="2">
        <v>347742.0</v>
      </c>
      <c r="K10" s="2">
        <v>11.1333</v>
      </c>
      <c r="L10" s="3"/>
      <c r="M10" s="2" t="s">
        <v>18</v>
      </c>
    </row>
    <row r="11">
      <c r="A11" s="2">
        <v>10.0</v>
      </c>
      <c r="B11" s="2">
        <v>1.0</v>
      </c>
      <c r="C11" s="2">
        <v>2.0</v>
      </c>
      <c r="D11" s="2" t="s">
        <v>40</v>
      </c>
      <c r="E11" s="2" t="s">
        <v>20</v>
      </c>
      <c r="F11" s="2" t="s">
        <v>21</v>
      </c>
      <c r="G11" s="2">
        <v>14.0</v>
      </c>
      <c r="H11" s="2">
        <v>1.0</v>
      </c>
      <c r="I11" s="2">
        <v>0.0</v>
      </c>
      <c r="J11" s="2">
        <v>237736.0</v>
      </c>
      <c r="K11" s="2">
        <v>30.0708</v>
      </c>
      <c r="L11" s="3"/>
      <c r="M11" s="2" t="s">
        <v>24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" t="s">
        <v>0</v>
      </c>
      <c r="C2" s="4">
        <f>COUNTA('Raw Data'!A2:A11)</f>
        <v>10</v>
      </c>
    </row>
    <row r="3">
      <c r="B3" s="1" t="s">
        <v>29</v>
      </c>
      <c r="C3" s="4">
        <f>AVERAGE('Raw Data'!G2:G11)</f>
        <v>28.11111111</v>
      </c>
    </row>
    <row r="4">
      <c r="B4" s="1" t="s">
        <v>35</v>
      </c>
      <c r="C4" s="4">
        <f>MEDIAN('Raw Data'!G2:G11)</f>
        <v>27</v>
      </c>
    </row>
    <row r="7"/>
    <row r="8"/>
    <row r="9"/>
    <row r="10"/>
    <row r="11"/>
  </sheetData>
  <drawing r:id="rId2"/>
  <tableParts count="1">
    <tablePart r:id="rId4"/>
  </tableParts>
</worksheet>
</file>